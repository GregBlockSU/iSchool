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pos\iSchool\BUA-345-BusinessAnalytics\Week-08\"/>
    </mc:Choice>
  </mc:AlternateContent>
  <xr:revisionPtr revIDLastSave="0" documentId="13_ncr:1_{39B3B851-AC27-4500-A477-AA56DFD01273}" xr6:coauthVersionLast="47" xr6:coauthVersionMax="47" xr10:uidLastSave="{00000000-0000-0000-0000-000000000000}"/>
  <bookViews>
    <workbookView xWindow="1837" yWindow="758" windowWidth="19163" windowHeight="12742" tabRatio="500" xr2:uid="{00000000-000D-0000-FFFF-FFFF00000000}"/>
  </bookViews>
  <sheets>
    <sheet name="Question 1" sheetId="1" r:id="rId1"/>
  </sheets>
  <definedNames>
    <definedName name="solver_adj" localSheetId="0" hidden="1">'Question 1'!$D$24,'Question 1'!$D$25,'Question 1'!$D$26,'Question 1'!$D$27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'Question 1'!$D$24:$D$27</definedName>
    <definedName name="solver_lhs2" localSheetId="0" hidden="1">'Question 1'!$D$24:$D$27</definedName>
    <definedName name="solver_lhs3" localSheetId="0" hidden="1">'Question 1'!$D$31</definedName>
    <definedName name="solver_lhs4" localSheetId="0" hidden="1">'Question 1'!$D$32</definedName>
    <definedName name="solver_lhs5" localSheetId="0" hidden="1">'Question 1'!$D$33</definedName>
    <definedName name="solver_lhs6" localSheetId="0" hidden="1">'Question 1'!$D$34</definedName>
    <definedName name="solver_lhs7" localSheetId="0" hidden="1">'Question 1'!$D$35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'Question 1'!$D$38</definedName>
    <definedName name="solver_pre" localSheetId="0" hidden="1">0.000001</definedName>
    <definedName name="solver_rbv" localSheetId="0" hidden="1">2</definedName>
    <definedName name="solver_rel1" localSheetId="0" hidden="1">4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hs1" localSheetId="0" hidden="1">"integer"</definedName>
    <definedName name="solver_rhs2" localSheetId="0" hidden="1">0</definedName>
    <definedName name="solver_rhs3" localSheetId="0" hidden="1">'Question 1'!$F$31</definedName>
    <definedName name="solver_rhs4" localSheetId="0" hidden="1">'Question 1'!$F$32</definedName>
    <definedName name="solver_rhs5" localSheetId="0" hidden="1">'Question 1'!$F$33</definedName>
    <definedName name="solver_rhs6" localSheetId="0" hidden="1">'Question 1'!$F$34</definedName>
    <definedName name="solver_rhs7" localSheetId="0" hidden="1">'Question 1'!$F$35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1" l="1"/>
  <c r="D35" i="1"/>
  <c r="G35" i="1" s="1"/>
  <c r="C35" i="1"/>
  <c r="D34" i="1"/>
  <c r="G34" i="1" s="1"/>
  <c r="C34" i="1"/>
  <c r="D33" i="1"/>
  <c r="G33" i="1" s="1"/>
  <c r="C33" i="1"/>
  <c r="D32" i="1"/>
  <c r="G32" i="1" s="1"/>
  <c r="C32" i="1"/>
  <c r="D31" i="1"/>
  <c r="G31" i="1" s="1"/>
  <c r="C31" i="1"/>
</calcChain>
</file>

<file path=xl/sharedStrings.xml><?xml version="1.0" encoding="utf-8"?>
<sst xmlns="http://schemas.openxmlformats.org/spreadsheetml/2006/main" count="78" uniqueCount="63">
  <si>
    <t>SHIFT</t>
  </si>
  <si>
    <t>2 AM - 6 AM</t>
  </si>
  <si>
    <t>CLOSED</t>
  </si>
  <si>
    <t>10 AM - 2 PM</t>
  </si>
  <si>
    <t>2 PM - 6 PM</t>
  </si>
  <si>
    <t>6 PM - 10 PM</t>
  </si>
  <si>
    <t>10 PM - 2 AM</t>
  </si>
  <si>
    <t>Minimum employees required</t>
  </si>
  <si>
    <t>Suppose you are the manager of a casino in Las Vegas. </t>
  </si>
  <si>
    <t>The casino is open 20 hours every day and is closed between 6 AM and 10 AM. </t>
  </si>
  <si>
    <t>The workday is divided into five 4-hour shifts. </t>
  </si>
  <si>
    <t>Each employee works two consecutive 4-hour shifts (i.e. eight continuous hours). </t>
  </si>
  <si>
    <t>The table below specifies the minimum number of employees required on each shift.</t>
  </si>
  <si>
    <t>What is the minimized total number of employees that you need to hire so that the minimum staff requirement is met on each shift?</t>
  </si>
  <si>
    <t>SOLVER SETUP — Employee Shift Scheduling</t>
  </si>
  <si>
    <t>DECISION VARIABLES</t>
  </si>
  <si>
    <t>Variable</t>
  </si>
  <si>
    <t>Shift Start</t>
  </si>
  <si>
    <t>Covers Shifts</t>
  </si>
  <si>
    <t>Employees Hired</t>
  </si>
  <si>
    <t>x1</t>
  </si>
  <si>
    <t>10 PM – 2 AM</t>
  </si>
  <si>
    <t>10 PM–2 AM  &amp;  2 AM–6 AM</t>
  </si>
  <si>
    <t>x3</t>
  </si>
  <si>
    <t>10 AM – 2 PM</t>
  </si>
  <si>
    <t>10 AM–2 PM  &amp;  2 PM–6 PM</t>
  </si>
  <si>
    <t>x4</t>
  </si>
  <si>
    <t>2 PM – 6 PM</t>
  </si>
  <si>
    <t>2 PM–6 PM   &amp;  6 PM–10 PM</t>
  </si>
  <si>
    <t>x5</t>
  </si>
  <si>
    <t>6 PM – 10 PM</t>
  </si>
  <si>
    <t>6 PM–10 PM  &amp;  10 PM–2 AM</t>
  </si>
  <si>
    <t>CONSTRAINTS  (Employees present ≥ Minimum required)</t>
  </si>
  <si>
    <t>Shift</t>
  </si>
  <si>
    <t>Time Window</t>
  </si>
  <si>
    <t>Formula (LHS)</t>
  </si>
  <si>
    <t>Employees Present</t>
  </si>
  <si>
    <t>≥</t>
  </si>
  <si>
    <t>Min Required</t>
  </si>
  <si>
    <t>Satisfied?</t>
  </si>
  <si>
    <t>S1</t>
  </si>
  <si>
    <t>2 AM – 6 AM</t>
  </si>
  <si>
    <t>S3</t>
  </si>
  <si>
    <t>S4</t>
  </si>
  <si>
    <t>S5</t>
  </si>
  <si>
    <t>S6</t>
  </si>
  <si>
    <t>OBJECTIVE FUNCTION</t>
  </si>
  <si>
    <t>Minimize Total Employees Hired:</t>
  </si>
  <si>
    <t>HOW TO RUN SOLVER</t>
  </si>
  <si>
    <t>1. Go to  Data → Solver  (if not visible: File → Options → Add-ins → Solver Add-in → Go → check Solver Add-in)</t>
  </si>
  <si>
    <t>2. Set Objective:  $D$38   →  Min</t>
  </si>
  <si>
    <t>3. By Changing Variable Cells:  $D$24:$D$24,$D$25:$D$25,$D$26:$D$26,$D$27:$D$27</t>
  </si>
  <si>
    <t>4. Add Constraints:</t>
  </si>
  <si>
    <t xml:space="preserve">   • $D$31 &gt;= $F$31   (Shift S1: 2AM–6AM)</t>
  </si>
  <si>
    <t xml:space="preserve">   • $D$32 &gt;= $F$32   (Shift S3: 10AM–2PM)</t>
  </si>
  <si>
    <t xml:space="preserve">   • $D$33 &gt;= $F$33   (Shift S4: 2PM–6PM)</t>
  </si>
  <si>
    <t xml:space="preserve">   • $D$34 &gt;= $F$34   (Shift S5: 6PM–10PM)</t>
  </si>
  <si>
    <t xml:space="preserve">   • $D$35 &gt;= $F$35   (Shift S6: 10PM–2AM)</t>
  </si>
  <si>
    <t xml:space="preserve">   • $D$24,$D$25,$D$26,$D$27 = integer  (whole employees)</t>
  </si>
  <si>
    <t xml:space="preserve">   • $D$24,$D$25,$D$26,$D$27 &gt;= 0</t>
  </si>
  <si>
    <t>5. Select Solving Method:  Simplex LP  (or GRG Nonlinear)</t>
  </si>
  <si>
    <t>6. Click  Solve  →  Keep Solver Solution  →  OK</t>
  </si>
  <si>
    <t>7. The minimized total appears in cell D38 (green cell above).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</si>
</sst>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1"/>
    </font>
    <font>
      <b/>
      <sz val="11"/>
      <color rgb="FF262626"/>
      <name val="Inherit"/>
      <charset val="1"/>
    </font>
    <font>
      <b/>
      <sz val="11"/>
      <color rgb="FF262626"/>
      <name val="Open Sans"/>
      <family val="2"/>
      <charset val="1"/>
    </font>
    <font>
      <sz val="11"/>
      <color rgb="FF262626"/>
      <name val="Inherit"/>
      <charset val="1"/>
    </font>
    <font>
      <sz val="11"/>
      <color rgb="FF262626"/>
      <name val="Open Sans"/>
      <family val="2"/>
      <charset val="1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80"/>
      <name val="Arial"/>
      <family val="2"/>
    </font>
    <font>
      <b/>
      <sz val="13"/>
      <color rgb="FF00008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E4057"/>
        <bgColor rgb="FF262626"/>
      </patternFill>
    </fill>
    <fill>
      <patternFill patternType="solid">
        <fgColor rgb="FFD9D9D9"/>
        <bgColor rgb="FFCDCDCD"/>
      </patternFill>
    </fill>
    <fill>
      <patternFill patternType="solid">
        <fgColor rgb="FFFFFF99"/>
        <bgColor rgb="FFFFFFCC"/>
      </patternFill>
    </fill>
    <fill>
      <patternFill patternType="solid">
        <fgColor rgb="FFDAEEF3"/>
        <bgColor rgb="FFE2EFDA"/>
      </patternFill>
    </fill>
    <fill>
      <patternFill patternType="solid">
        <fgColor rgb="FFE2EFDA"/>
        <bgColor rgb="FFDAEEF3"/>
      </patternFill>
    </fill>
  </fills>
  <borders count="3">
    <border>
      <left/>
      <right/>
      <top/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 style="medium">
        <color rgb="FFCDCDC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CDCD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057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29" zoomScaleNormal="100" workbookViewId="0">
      <selection activeCell="D38" sqref="D38"/>
    </sheetView>
  </sheetViews>
  <sheetFormatPr defaultColWidth="8.53125" defaultRowHeight="14.25"/>
  <cols>
    <col min="1" max="1" width="12" customWidth="1"/>
    <col min="2" max="2" width="22" customWidth="1"/>
    <col min="3" max="3" width="30" customWidth="1"/>
    <col min="4" max="4" width="18" customWidth="1"/>
    <col min="5" max="5" width="5" customWidth="1"/>
    <col min="6" max="6" width="15" customWidth="1"/>
    <col min="7" max="7" width="13" customWidth="1"/>
    <col min="8" max="8" width="10" customWidth="1"/>
  </cols>
  <sheetData>
    <row r="1" spans="1:7" ht="17.25" customHeight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ht="29.25" customHeight="1">
      <c r="A2" s="3"/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72" customHeight="1">
      <c r="A3" s="3" t="s">
        <v>7</v>
      </c>
      <c r="B3" s="4">
        <v>14</v>
      </c>
      <c r="C3" s="4">
        <v>0</v>
      </c>
      <c r="D3" s="4">
        <v>12</v>
      </c>
      <c r="E3" s="4">
        <v>17</v>
      </c>
      <c r="F3" s="4">
        <v>21</v>
      </c>
      <c r="G3" s="4">
        <v>25</v>
      </c>
    </row>
    <row r="5" spans="1:7" ht="16.5" customHeight="1">
      <c r="A5" s="5" t="s">
        <v>8</v>
      </c>
    </row>
    <row r="6" spans="1:7" ht="16.5" customHeight="1">
      <c r="A6" s="5" t="s">
        <v>9</v>
      </c>
    </row>
    <row r="7" spans="1:7" ht="16.5" customHeight="1">
      <c r="A7" s="5" t="s">
        <v>10</v>
      </c>
    </row>
    <row r="8" spans="1:7" ht="16.5" customHeight="1">
      <c r="A8" s="5" t="s">
        <v>10</v>
      </c>
    </row>
    <row r="9" spans="1:7" ht="16.5" customHeight="1">
      <c r="A9" s="5" t="s">
        <v>11</v>
      </c>
    </row>
    <row r="15" spans="1:7" ht="16.5" customHeight="1">
      <c r="A15" s="5" t="s">
        <v>12</v>
      </c>
    </row>
    <row r="17" spans="1:8" ht="16.5" customHeight="1">
      <c r="A17" s="5" t="s">
        <v>13</v>
      </c>
    </row>
    <row r="20" spans="1:8" ht="19.5" customHeight="1">
      <c r="A20" s="17" t="s">
        <v>14</v>
      </c>
      <c r="B20" s="17"/>
      <c r="C20" s="17"/>
      <c r="D20" s="17"/>
      <c r="E20" s="17"/>
      <c r="F20" s="17"/>
      <c r="G20" s="17"/>
      <c r="H20" s="17"/>
    </row>
    <row r="22" spans="1:8">
      <c r="A22" s="15" t="s">
        <v>15</v>
      </c>
      <c r="B22" s="15"/>
      <c r="C22" s="15"/>
      <c r="D22" s="15"/>
      <c r="E22" s="15"/>
      <c r="F22" s="15"/>
      <c r="G22" s="15"/>
      <c r="H22" s="15"/>
    </row>
    <row r="23" spans="1:8">
      <c r="A23" s="6" t="s">
        <v>16</v>
      </c>
      <c r="B23" s="6" t="s">
        <v>17</v>
      </c>
      <c r="C23" s="6" t="s">
        <v>18</v>
      </c>
      <c r="D23" s="6" t="s">
        <v>19</v>
      </c>
    </row>
    <row r="24" spans="1:8">
      <c r="A24" s="7" t="s">
        <v>20</v>
      </c>
      <c r="B24" s="7" t="s">
        <v>21</v>
      </c>
      <c r="C24" s="8" t="s">
        <v>22</v>
      </c>
      <c r="D24" s="9">
        <v>14</v>
      </c>
    </row>
    <row r="25" spans="1:8">
      <c r="A25" s="7" t="s">
        <v>23</v>
      </c>
      <c r="B25" s="7" t="s">
        <v>24</v>
      </c>
      <c r="C25" s="8" t="s">
        <v>25</v>
      </c>
      <c r="D25" s="9">
        <v>12</v>
      </c>
    </row>
    <row r="26" spans="1:8">
      <c r="A26" s="7" t="s">
        <v>26</v>
      </c>
      <c r="B26" s="7" t="s">
        <v>27</v>
      </c>
      <c r="C26" s="8" t="s">
        <v>28</v>
      </c>
      <c r="D26" s="9">
        <v>10</v>
      </c>
    </row>
    <row r="27" spans="1:8">
      <c r="A27" s="7" t="s">
        <v>29</v>
      </c>
      <c r="B27" s="7" t="s">
        <v>30</v>
      </c>
      <c r="C27" s="8" t="s">
        <v>31</v>
      </c>
      <c r="D27" s="9">
        <v>11</v>
      </c>
    </row>
    <row r="29" spans="1:8">
      <c r="A29" s="15" t="s">
        <v>32</v>
      </c>
      <c r="B29" s="15"/>
      <c r="C29" s="15"/>
      <c r="D29" s="15"/>
      <c r="E29" s="15"/>
      <c r="F29" s="15"/>
      <c r="G29" s="15"/>
      <c r="H29" s="15"/>
    </row>
    <row r="30" spans="1:8">
      <c r="A30" s="6" t="s">
        <v>33</v>
      </c>
      <c r="B30" s="6" t="s">
        <v>34</v>
      </c>
      <c r="C30" s="6" t="s">
        <v>35</v>
      </c>
      <c r="D30" s="6" t="s">
        <v>36</v>
      </c>
      <c r="E30" s="6" t="s">
        <v>37</v>
      </c>
      <c r="F30" s="6" t="s">
        <v>38</v>
      </c>
      <c r="G30" s="6" t="s">
        <v>39</v>
      </c>
    </row>
    <row r="31" spans="1:8">
      <c r="A31" s="7" t="s">
        <v>40</v>
      </c>
      <c r="B31" s="7" t="s">
        <v>41</v>
      </c>
      <c r="C31" s="7">
        <f>D24</f>
        <v>14</v>
      </c>
      <c r="D31" s="10">
        <f>D24</f>
        <v>14</v>
      </c>
      <c r="E31" s="7" t="s">
        <v>37</v>
      </c>
      <c r="F31" s="7">
        <v>14</v>
      </c>
      <c r="G31" s="11" t="str">
        <f>IF(D31&gt;=F31,"✓ YES","✗ NO")</f>
        <v>✓ YES</v>
      </c>
    </row>
    <row r="32" spans="1:8">
      <c r="A32" s="7" t="s">
        <v>42</v>
      </c>
      <c r="B32" s="7" t="s">
        <v>24</v>
      </c>
      <c r="C32" s="7">
        <f>D25</f>
        <v>12</v>
      </c>
      <c r="D32" s="10">
        <f>D25</f>
        <v>12</v>
      </c>
      <c r="E32" s="7" t="s">
        <v>37</v>
      </c>
      <c r="F32" s="7">
        <v>12</v>
      </c>
      <c r="G32" s="11" t="str">
        <f>IF(D32&gt;=F32,"✓ YES","✗ NO")</f>
        <v>✓ YES</v>
      </c>
    </row>
    <row r="33" spans="1:8">
      <c r="A33" s="7" t="s">
        <v>43</v>
      </c>
      <c r="B33" s="7" t="s">
        <v>27</v>
      </c>
      <c r="C33" s="7">
        <f>D25 + D26</f>
        <v>22</v>
      </c>
      <c r="D33" s="10">
        <f>D25+D26</f>
        <v>22</v>
      </c>
      <c r="E33" s="7" t="s">
        <v>37</v>
      </c>
      <c r="F33" s="7">
        <v>17</v>
      </c>
      <c r="G33" s="11" t="str">
        <f>IF(D33&gt;=F33,"✓ YES","✗ NO")</f>
        <v>✓ YES</v>
      </c>
    </row>
    <row r="34" spans="1:8">
      <c r="A34" s="7" t="s">
        <v>44</v>
      </c>
      <c r="B34" s="7" t="s">
        <v>30</v>
      </c>
      <c r="C34" s="7">
        <f>D26 + D27</f>
        <v>21</v>
      </c>
      <c r="D34" s="10">
        <f>D26+D27</f>
        <v>21</v>
      </c>
      <c r="E34" s="7" t="s">
        <v>37</v>
      </c>
      <c r="F34" s="7">
        <v>21</v>
      </c>
      <c r="G34" s="11" t="str">
        <f>IF(D34&gt;=F34,"✓ YES","✗ NO")</f>
        <v>✓ YES</v>
      </c>
    </row>
    <row r="35" spans="1:8">
      <c r="A35" s="7" t="s">
        <v>45</v>
      </c>
      <c r="B35" s="7" t="s">
        <v>21</v>
      </c>
      <c r="C35" s="7">
        <f>D27 + D24</f>
        <v>25</v>
      </c>
      <c r="D35" s="10">
        <f>D27+D24</f>
        <v>25</v>
      </c>
      <c r="E35" s="7" t="s">
        <v>37</v>
      </c>
      <c r="F35" s="7">
        <v>25</v>
      </c>
      <c r="G35" s="11" t="str">
        <f>IF(D35&gt;=F35,"✓ YES","✗ NO")</f>
        <v>✓ YES</v>
      </c>
    </row>
    <row r="37" spans="1:8">
      <c r="A37" s="15" t="s">
        <v>46</v>
      </c>
      <c r="B37" s="15"/>
      <c r="C37" s="15"/>
      <c r="D37" s="15"/>
      <c r="E37" s="15"/>
      <c r="F37" s="15"/>
      <c r="G37" s="15"/>
      <c r="H37" s="15"/>
    </row>
    <row r="38" spans="1:8" ht="16.899999999999999">
      <c r="A38" s="18" t="s">
        <v>47</v>
      </c>
      <c r="B38" s="18"/>
      <c r="C38" s="18"/>
      <c r="D38" s="12">
        <f>D24+D25+D26+D27</f>
        <v>47</v>
      </c>
    </row>
    <row r="40" spans="1:8">
      <c r="A40" s="15" t="s">
        <v>48</v>
      </c>
      <c r="B40" s="15"/>
      <c r="C40" s="15"/>
      <c r="D40" s="15"/>
      <c r="E40" s="15"/>
      <c r="F40" s="15"/>
      <c r="G40" s="15"/>
      <c r="H40" s="15"/>
    </row>
    <row r="41" spans="1:8" ht="15.75" customHeight="1">
      <c r="A41" s="14" t="s">
        <v>49</v>
      </c>
      <c r="B41" s="14"/>
      <c r="C41" s="14"/>
      <c r="D41" s="14"/>
      <c r="E41" s="14"/>
      <c r="F41" s="14"/>
      <c r="G41" s="14"/>
      <c r="H41" s="14"/>
    </row>
    <row r="42" spans="1:8" ht="15.75" customHeight="1">
      <c r="A42" s="14" t="s">
        <v>50</v>
      </c>
      <c r="B42" s="14"/>
      <c r="C42" s="14"/>
      <c r="D42" s="14"/>
      <c r="E42" s="14"/>
      <c r="F42" s="14"/>
      <c r="G42" s="14"/>
      <c r="H42" s="14"/>
    </row>
    <row r="43" spans="1:8" ht="15.75" customHeight="1">
      <c r="A43" s="16" t="s">
        <v>51</v>
      </c>
      <c r="B43" s="14"/>
      <c r="C43" s="14"/>
      <c r="D43" s="14"/>
      <c r="E43" s="14"/>
      <c r="F43" s="14"/>
      <c r="G43" s="14"/>
      <c r="H43" s="14"/>
    </row>
    <row r="44" spans="1:8" ht="15.75" customHeight="1">
      <c r="A44" s="14" t="s">
        <v>52</v>
      </c>
      <c r="B44" s="14"/>
      <c r="C44" s="14"/>
      <c r="D44" s="14"/>
      <c r="E44" s="14"/>
      <c r="F44" s="14"/>
      <c r="G44" s="14"/>
      <c r="H44" s="14"/>
    </row>
    <row r="45" spans="1:8" ht="15.75" customHeight="1">
      <c r="A45" s="13" t="s">
        <v>53</v>
      </c>
      <c r="B45" s="13"/>
      <c r="C45" s="13"/>
      <c r="D45" s="13"/>
      <c r="E45" s="13"/>
      <c r="F45" s="13"/>
      <c r="G45" s="13"/>
      <c r="H45" s="13"/>
    </row>
    <row r="46" spans="1:8" ht="15.75" customHeight="1">
      <c r="A46" s="13" t="s">
        <v>54</v>
      </c>
      <c r="B46" s="13"/>
      <c r="C46" s="13"/>
      <c r="D46" s="13"/>
      <c r="E46" s="13"/>
      <c r="F46" s="13"/>
      <c r="G46" s="13"/>
      <c r="H46" s="13"/>
    </row>
    <row r="47" spans="1:8" ht="15.75" customHeight="1">
      <c r="A47" s="13" t="s">
        <v>55</v>
      </c>
      <c r="B47" s="13"/>
      <c r="C47" s="13"/>
      <c r="D47" s="13"/>
      <c r="E47" s="13"/>
      <c r="F47" s="13"/>
      <c r="G47" s="13"/>
      <c r="H47" s="13"/>
    </row>
    <row r="48" spans="1:8" ht="15.75" customHeight="1">
      <c r="A48" s="13" t="s">
        <v>56</v>
      </c>
      <c r="B48" s="13"/>
      <c r="C48" s="13"/>
      <c r="D48" s="13"/>
      <c r="E48" s="13"/>
      <c r="F48" s="13"/>
      <c r="G48" s="13"/>
      <c r="H48" s="13"/>
    </row>
    <row r="49" spans="1:8" ht="15.75" customHeight="1">
      <c r="A49" s="13" t="s">
        <v>57</v>
      </c>
      <c r="B49" s="13"/>
      <c r="C49" s="13"/>
      <c r="D49" s="13"/>
      <c r="E49" s="13"/>
      <c r="F49" s="13"/>
      <c r="G49" s="13"/>
      <c r="H49" s="13"/>
    </row>
    <row r="50" spans="1:8" ht="15.75" customHeight="1">
      <c r="A50" s="13" t="s">
        <v>58</v>
      </c>
      <c r="B50" s="13"/>
      <c r="C50" s="13"/>
      <c r="D50" s="13"/>
      <c r="E50" s="13"/>
      <c r="F50" s="13"/>
      <c r="G50" s="13"/>
      <c r="H50" s="13"/>
    </row>
    <row r="51" spans="1:8" ht="15.75" customHeight="1">
      <c r="A51" s="13" t="s">
        <v>59</v>
      </c>
      <c r="B51" s="13"/>
      <c r="C51" s="13"/>
      <c r="D51" s="13"/>
      <c r="E51" s="13"/>
      <c r="F51" s="13"/>
      <c r="G51" s="13"/>
      <c r="H51" s="13"/>
    </row>
    <row r="52" spans="1:8" ht="15.75" customHeight="1">
      <c r="A52" s="14" t="s">
        <v>60</v>
      </c>
      <c r="B52" s="14"/>
      <c r="C52" s="14"/>
      <c r="D52" s="14"/>
      <c r="E52" s="14"/>
      <c r="F52" s="14"/>
      <c r="G52" s="14"/>
      <c r="H52" s="14"/>
    </row>
    <row r="53" spans="1:8" ht="15.75" customHeight="1">
      <c r="A53" s="14" t="s">
        <v>61</v>
      </c>
      <c r="B53" s="14"/>
      <c r="C53" s="14"/>
      <c r="D53" s="14"/>
      <c r="E53" s="14"/>
      <c r="F53" s="14"/>
      <c r="G53" s="14"/>
      <c r="H53" s="14"/>
    </row>
    <row r="54" spans="1:8" ht="15.75" customHeight="1">
      <c r="A54" s="14" t="s">
        <v>62</v>
      </c>
      <c r="B54" s="14"/>
      <c r="C54" s="14"/>
      <c r="D54" s="14"/>
      <c r="E54" s="14"/>
      <c r="F54" s="14"/>
      <c r="G54" s="14"/>
      <c r="H54" s="14"/>
    </row>
  </sheetData>
  <mergeCells count="20">
    <mergeCell ref="A20:H20"/>
    <mergeCell ref="A22:H22"/>
    <mergeCell ref="A29:H29"/>
    <mergeCell ref="A37:H37"/>
    <mergeCell ref="A38:C38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Block</dc:creator>
  <dc:description/>
  <cp:lastModifiedBy>Gregory Block</cp:lastModifiedBy>
  <cp:revision>0</cp:revision>
  <dcterms:created xsi:type="dcterms:W3CDTF">2026-06-18T12:52:59Z</dcterms:created>
  <dcterms:modified xsi:type="dcterms:W3CDTF">2026-06-20T20:27:10Z</dcterms:modified>
  <dc:language>en-US</dc:language>
</cp:coreProperties>
</file>